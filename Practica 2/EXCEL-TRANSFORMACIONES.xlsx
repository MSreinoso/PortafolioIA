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286BD2D2-4DBC-4BB1-9393-4B0E99AF4A9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jercicioPropues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2" l="1"/>
  <c r="G55" i="2"/>
  <c r="B42" i="2"/>
  <c r="H51" i="2"/>
  <c r="D34" i="2"/>
  <c r="C38" i="2"/>
  <c r="B38" i="2"/>
  <c r="D38" i="2"/>
  <c r="E38" i="2"/>
  <c r="F38" i="2"/>
  <c r="G38" i="2"/>
  <c r="H38" i="2"/>
  <c r="I38" i="2"/>
  <c r="B34" i="2"/>
  <c r="C34" i="2"/>
  <c r="F34" i="2"/>
  <c r="G34" i="2"/>
  <c r="H34" i="2"/>
  <c r="I34" i="2"/>
  <c r="E34" i="2"/>
  <c r="B43" i="2" l="1"/>
  <c r="B47" i="2"/>
  <c r="B44" i="2"/>
  <c r="B45" i="2"/>
  <c r="B46" i="2"/>
  <c r="C42" i="2"/>
  <c r="C46" i="2"/>
  <c r="C47" i="2"/>
  <c r="C43" i="2"/>
  <c r="C44" i="2"/>
  <c r="C45" i="2"/>
  <c r="F43" i="2"/>
  <c r="F44" i="2"/>
  <c r="F47" i="2"/>
  <c r="F45" i="2"/>
  <c r="F46" i="2"/>
  <c r="F42" i="2"/>
  <c r="G44" i="2"/>
  <c r="G46" i="2"/>
  <c r="G43" i="2"/>
  <c r="G42" i="2"/>
  <c r="G47" i="2"/>
  <c r="G45" i="2"/>
  <c r="H42" i="2"/>
  <c r="H44" i="2"/>
  <c r="H45" i="2"/>
  <c r="H43" i="2"/>
  <c r="H47" i="2"/>
  <c r="H46" i="2"/>
  <c r="I43" i="2"/>
  <c r="I44" i="2"/>
  <c r="I45" i="2"/>
  <c r="I47" i="2"/>
  <c r="I46" i="2"/>
  <c r="E42" i="2"/>
  <c r="E46" i="2"/>
  <c r="E47" i="2"/>
  <c r="E45" i="2"/>
  <c r="E44" i="2"/>
  <c r="E43" i="2"/>
  <c r="D42" i="2"/>
  <c r="D47" i="2"/>
  <c r="D46" i="2"/>
  <c r="D45" i="2"/>
  <c r="D44" i="2"/>
  <c r="D43" i="2"/>
  <c r="I55" i="2" l="1"/>
  <c r="I51" i="2"/>
  <c r="B55" i="2"/>
  <c r="B51" i="2"/>
  <c r="C55" i="2"/>
  <c r="C51" i="2"/>
  <c r="F51" i="2"/>
  <c r="F55" i="2"/>
  <c r="G51" i="2"/>
  <c r="H55" i="2"/>
  <c r="E55" i="2"/>
  <c r="E51" i="2"/>
  <c r="D55" i="2"/>
  <c r="D51" i="2"/>
</calcChain>
</file>

<file path=xl/sharedStrings.xml><?xml version="1.0" encoding="utf-8"?>
<sst xmlns="http://schemas.openxmlformats.org/spreadsheetml/2006/main" count="102" uniqueCount="46">
  <si>
    <t>sexo</t>
  </si>
  <si>
    <t>edad</t>
  </si>
  <si>
    <t>categórica nominal</t>
  </si>
  <si>
    <t>numerica discreta</t>
  </si>
  <si>
    <t>categórica ordinal</t>
  </si>
  <si>
    <t>M</t>
  </si>
  <si>
    <t>F</t>
  </si>
  <si>
    <t>nivelSatisfaccion</t>
  </si>
  <si>
    <t>neutral</t>
  </si>
  <si>
    <t>país</t>
  </si>
  <si>
    <t>España</t>
  </si>
  <si>
    <t>Chile</t>
  </si>
  <si>
    <t>Ecuador</t>
  </si>
  <si>
    <t>1. Realizar tabla de diseño de transformaciones</t>
  </si>
  <si>
    <t>2. Ejecutar transformaciones categóricas</t>
  </si>
  <si>
    <t>3. Ejecutar transformaciones numéricas</t>
  </si>
  <si>
    <t>4. Calcular la media y la desviación estandar de la variable edad una vez que ha sido estandarizada</t>
  </si>
  <si>
    <t>Actividades en clase</t>
  </si>
  <si>
    <t>me gusta</t>
  </si>
  <si>
    <t>no me gusta</t>
  </si>
  <si>
    <t>Brasil</t>
  </si>
  <si>
    <t>Dataset de gustos sobre películas</t>
  </si>
  <si>
    <t>SEXO_M</t>
  </si>
  <si>
    <t>SEXO_F</t>
  </si>
  <si>
    <t>EDAD</t>
  </si>
  <si>
    <t>PAIS_BRASIL</t>
  </si>
  <si>
    <t>PAIS_ESPAÑA</t>
  </si>
  <si>
    <t>PAIS_CHILE</t>
  </si>
  <si>
    <t>PAIS_ECUADOR</t>
  </si>
  <si>
    <t>VARIABLE</t>
  </si>
  <si>
    <t>TIPO</t>
  </si>
  <si>
    <t>TÉCNICA</t>
  </si>
  <si>
    <t>pais</t>
  </si>
  <si>
    <t>nivelsatisfacción</t>
  </si>
  <si>
    <t>POMEDIO DE DATOS</t>
  </si>
  <si>
    <t>DESVIACION ESTANDAR</t>
  </si>
  <si>
    <t>ESTANDARIZACION</t>
  </si>
  <si>
    <t>MEDIA</t>
  </si>
  <si>
    <t>1.</t>
  </si>
  <si>
    <t>2.</t>
  </si>
  <si>
    <t>One-Hot Encoding</t>
  </si>
  <si>
    <t>Ordinal encoding</t>
  </si>
  <si>
    <t>Binary Encoding (0, 1)</t>
  </si>
  <si>
    <t>Z-Score Standardization</t>
  </si>
  <si>
    <t>NIVEL SATISFACCIÓN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</si>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</sst>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2" xfId="0" applyFill="1" applyBorder="1"/>
    <xf numFmtId="0" fontId="0" fillId="0" borderId="2" xfId="0" applyBorder="1"/>
    <xf numFmtId="0" fontId="0" fillId="0" borderId="0" xfId="0" applyFill="1" applyBorder="1"/>
    <xf numFmtId="1" fontId="0" fillId="0" borderId="1" xfId="0" applyNumberForma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"/>
  <sheetViews>
    <sheetView tabSelected="1" topLeftCell="A23" zoomScale="61" zoomScaleNormal="84" workbookViewId="0">
      <selection activeCell="J38" sqref="J38"/>
    </sheetView>
  </sheetViews>
  <sheetFormatPr baseColWidth="10" defaultRowHeight="14.25" x14ac:dyDescent="0.45"/>
  <cols>
    <col min="1" max="1" width="23.19921875" customWidth="1"/>
    <col min="2" max="2" width="21.796875" customWidth="1"/>
    <col min="3" max="3" width="24.33203125" customWidth="1"/>
    <col min="4" max="4" width="20.6640625" bestFit="1" customWidth="1"/>
    <col min="5" max="5" width="17.796875" customWidth="1"/>
    <col min="6" max="6" width="17.06640625" customWidth="1"/>
    <col min="7" max="7" width="19.1328125" customWidth="1"/>
    <col min="8" max="8" width="15.73046875" customWidth="1"/>
    <col min="9" max="9" width="22.3984375" customWidth="1"/>
    <col min="10" max="10" width="28.796875" customWidth="1"/>
    <col min="11" max="11" width="18.46484375" customWidth="1"/>
    <col min="12" max="12" width="20.53125" customWidth="1"/>
  </cols>
  <sheetData>
    <row r="1" spans="1:7" x14ac:dyDescent="0.45">
      <c r="A1" s="5" t="s">
        <v>21</v>
      </c>
    </row>
    <row r="2" spans="1:7" x14ac:dyDescent="0.45">
      <c r="A2" s="3" t="s">
        <v>0</v>
      </c>
      <c r="B2" s="3" t="s">
        <v>1</v>
      </c>
      <c r="C2" s="3" t="s">
        <v>9</v>
      </c>
      <c r="D2" s="3" t="s">
        <v>7</v>
      </c>
    </row>
    <row r="3" spans="1:7" x14ac:dyDescent="0.45">
      <c r="A3" s="2" t="s">
        <v>6</v>
      </c>
      <c r="B3" s="2">
        <v>65</v>
      </c>
      <c r="C3" s="2" t="s">
        <v>20</v>
      </c>
      <c r="D3" s="2" t="s">
        <v>18</v>
      </c>
    </row>
    <row r="4" spans="1:7" x14ac:dyDescent="0.45">
      <c r="A4" s="2" t="s">
        <v>5</v>
      </c>
      <c r="B4" s="2">
        <v>26</v>
      </c>
      <c r="C4" s="2" t="s">
        <v>10</v>
      </c>
      <c r="D4" s="2" t="s">
        <v>19</v>
      </c>
    </row>
    <row r="5" spans="1:7" x14ac:dyDescent="0.45">
      <c r="A5" s="2" t="s">
        <v>6</v>
      </c>
      <c r="B5" s="2">
        <v>21</v>
      </c>
      <c r="C5" s="2" t="s">
        <v>11</v>
      </c>
      <c r="D5" s="2" t="s">
        <v>8</v>
      </c>
    </row>
    <row r="6" spans="1:7" x14ac:dyDescent="0.45">
      <c r="A6" s="2" t="s">
        <v>5</v>
      </c>
      <c r="B6" s="2">
        <v>12</v>
      </c>
      <c r="C6" s="2" t="s">
        <v>12</v>
      </c>
      <c r="D6" s="2" t="s">
        <v>19</v>
      </c>
    </row>
    <row r="7" spans="1:7" x14ac:dyDescent="0.45">
      <c r="A7" s="2" t="s">
        <v>6</v>
      </c>
      <c r="B7" s="2">
        <v>32</v>
      </c>
      <c r="C7" s="2" t="s">
        <v>10</v>
      </c>
      <c r="D7" s="2" t="s">
        <v>18</v>
      </c>
    </row>
    <row r="8" spans="1:7" x14ac:dyDescent="0.45">
      <c r="A8" s="2" t="s">
        <v>5</v>
      </c>
      <c r="B8" s="2">
        <v>9</v>
      </c>
      <c r="C8" s="2" t="s">
        <v>12</v>
      </c>
      <c r="D8" s="2" t="s">
        <v>19</v>
      </c>
    </row>
    <row r="10" spans="1:7" x14ac:dyDescent="0.45">
      <c r="A10" s="8" t="s">
        <v>17</v>
      </c>
      <c r="B10" s="8"/>
      <c r="C10" s="8"/>
      <c r="D10" s="8"/>
      <c r="E10" s="8"/>
      <c r="F10" s="8"/>
      <c r="G10" s="8"/>
    </row>
    <row r="11" spans="1:7" x14ac:dyDescent="0.45">
      <c r="A11" s="7" t="s">
        <v>13</v>
      </c>
      <c r="B11" s="7"/>
      <c r="C11" s="7"/>
      <c r="D11" s="7"/>
      <c r="E11" s="7"/>
      <c r="F11" s="7"/>
      <c r="G11" s="7"/>
    </row>
    <row r="12" spans="1:7" x14ac:dyDescent="0.45">
      <c r="A12" s="7" t="s">
        <v>14</v>
      </c>
      <c r="B12" s="7"/>
      <c r="C12" s="7"/>
      <c r="D12" s="7"/>
      <c r="E12" s="7"/>
      <c r="F12" s="7"/>
      <c r="G12" s="7"/>
    </row>
    <row r="13" spans="1:7" x14ac:dyDescent="0.45">
      <c r="A13" s="7" t="s">
        <v>15</v>
      </c>
      <c r="B13" s="7"/>
      <c r="C13" s="7"/>
      <c r="D13" s="7"/>
      <c r="E13" s="7"/>
      <c r="F13" s="7"/>
      <c r="G13" s="7"/>
    </row>
    <row r="14" spans="1:7" x14ac:dyDescent="0.45">
      <c r="A14" s="7" t="s">
        <v>16</v>
      </c>
      <c r="B14" s="7"/>
      <c r="C14" s="7"/>
      <c r="D14" s="7"/>
      <c r="E14" s="7"/>
      <c r="F14" s="7"/>
      <c r="G14" s="7"/>
    </row>
    <row r="15" spans="1:7" x14ac:dyDescent="0.45">
      <c r="A15" s="6"/>
      <c r="B15" s="6"/>
      <c r="C15" s="6"/>
      <c r="D15" s="6"/>
      <c r="E15" s="6"/>
      <c r="F15" s="6"/>
      <c r="G15" s="6"/>
    </row>
    <row r="16" spans="1:7" x14ac:dyDescent="0.45">
      <c r="A16" s="6"/>
      <c r="B16" s="6"/>
      <c r="C16" s="6"/>
      <c r="D16" s="6"/>
      <c r="E16" s="6"/>
      <c r="F16" s="6"/>
      <c r="G16" s="6"/>
    </row>
    <row r="17" spans="1:12" x14ac:dyDescent="0.45">
      <c r="A17" s="6" t="s">
        <v>38</v>
      </c>
      <c r="B17" s="4" t="s">
        <v>29</v>
      </c>
      <c r="C17" s="4" t="s">
        <v>30</v>
      </c>
      <c r="D17" s="4" t="s">
        <v>31</v>
      </c>
      <c r="E17" s="6"/>
      <c r="F17" s="6"/>
      <c r="G17" s="6"/>
    </row>
    <row r="18" spans="1:12" x14ac:dyDescent="0.45">
      <c r="A18" s="6"/>
      <c r="B18" s="1" t="s">
        <v>0</v>
      </c>
      <c r="C18" s="1" t="s">
        <v>2</v>
      </c>
      <c r="D18" s="1" t="s">
        <v>42</v>
      </c>
      <c r="E18" s="6"/>
      <c r="F18" s="6"/>
      <c r="G18" s="6"/>
    </row>
    <row r="19" spans="1:12" x14ac:dyDescent="0.45">
      <c r="A19" s="6"/>
      <c r="B19" s="1" t="s">
        <v>1</v>
      </c>
      <c r="C19" s="1" t="s">
        <v>3</v>
      </c>
      <c r="D19" s="1" t="s">
        <v>43</v>
      </c>
      <c r="E19" s="6"/>
      <c r="F19" s="6"/>
      <c r="G19" s="6"/>
    </row>
    <row r="20" spans="1:12" x14ac:dyDescent="0.45">
      <c r="A20" s="6"/>
      <c r="B20" s="1" t="s">
        <v>32</v>
      </c>
      <c r="C20" s="1" t="s">
        <v>2</v>
      </c>
      <c r="D20" s="1" t="s">
        <v>40</v>
      </c>
      <c r="E20" s="6"/>
      <c r="F20" s="6"/>
      <c r="G20" s="6"/>
    </row>
    <row r="21" spans="1:12" x14ac:dyDescent="0.45">
      <c r="A21" s="6"/>
      <c r="B21" s="1" t="s">
        <v>33</v>
      </c>
      <c r="C21" s="1" t="s">
        <v>4</v>
      </c>
      <c r="D21" s="1" t="s">
        <v>41</v>
      </c>
      <c r="E21" s="6"/>
      <c r="F21" s="6"/>
      <c r="G21" s="6"/>
    </row>
    <row r="22" spans="1:12" x14ac:dyDescent="0.45">
      <c r="A22" s="6"/>
      <c r="B22" s="6"/>
      <c r="C22" s="6"/>
      <c r="D22" s="6"/>
      <c r="E22" s="6"/>
      <c r="F22" s="6"/>
      <c r="G22" s="6"/>
      <c r="J22" s="11"/>
      <c r="K22" s="11"/>
      <c r="L22" s="11"/>
    </row>
    <row r="23" spans="1:12" x14ac:dyDescent="0.45">
      <c r="A23" s="6"/>
      <c r="B23" s="6"/>
      <c r="C23" s="6"/>
      <c r="D23" s="6"/>
      <c r="E23" s="6"/>
      <c r="F23" s="6"/>
      <c r="G23" s="6"/>
      <c r="J23" s="11"/>
      <c r="K23" s="11"/>
      <c r="L23" s="11"/>
    </row>
    <row r="24" spans="1:12" x14ac:dyDescent="0.45">
      <c r="A24" s="6" t="s">
        <v>39</v>
      </c>
      <c r="B24" s="4" t="s">
        <v>22</v>
      </c>
      <c r="C24" s="4" t="s">
        <v>23</v>
      </c>
      <c r="D24" s="4" t="s">
        <v>24</v>
      </c>
      <c r="E24" s="4" t="s">
        <v>25</v>
      </c>
      <c r="F24" s="4" t="s">
        <v>26</v>
      </c>
      <c r="G24" s="4" t="s">
        <v>27</v>
      </c>
      <c r="H24" s="4" t="s">
        <v>28</v>
      </c>
      <c r="I24" s="4" t="s">
        <v>44</v>
      </c>
      <c r="J24" s="11"/>
      <c r="K24" s="1" t="s">
        <v>18</v>
      </c>
      <c r="L24" s="1">
        <v>0</v>
      </c>
    </row>
    <row r="25" spans="1:12" x14ac:dyDescent="0.45">
      <c r="A25" s="6"/>
      <c r="B25" s="1">
        <v>0</v>
      </c>
      <c r="C25" s="1">
        <v>1</v>
      </c>
      <c r="D25" s="1">
        <v>65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1"/>
      <c r="K25" s="1" t="s">
        <v>19</v>
      </c>
      <c r="L25" s="1">
        <v>2</v>
      </c>
    </row>
    <row r="26" spans="1:12" x14ac:dyDescent="0.45">
      <c r="A26" s="6"/>
      <c r="B26" s="1">
        <v>1</v>
      </c>
      <c r="C26" s="1">
        <v>0</v>
      </c>
      <c r="D26" s="1">
        <v>26</v>
      </c>
      <c r="E26" s="1">
        <v>0</v>
      </c>
      <c r="F26" s="1">
        <v>1</v>
      </c>
      <c r="G26" s="1">
        <v>0</v>
      </c>
      <c r="H26" s="1">
        <v>0</v>
      </c>
      <c r="I26" s="1">
        <v>2</v>
      </c>
      <c r="J26" s="11"/>
      <c r="K26" s="1" t="s">
        <v>8</v>
      </c>
      <c r="L26" s="1">
        <v>1</v>
      </c>
    </row>
    <row r="27" spans="1:12" x14ac:dyDescent="0.45">
      <c r="A27" s="6"/>
      <c r="B27" s="1">
        <v>0</v>
      </c>
      <c r="C27" s="1">
        <v>1</v>
      </c>
      <c r="D27" s="1">
        <v>21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1"/>
      <c r="K27" s="11"/>
      <c r="L27" s="11"/>
    </row>
    <row r="28" spans="1:12" x14ac:dyDescent="0.45">
      <c r="A28" s="6"/>
      <c r="B28" s="1">
        <v>1</v>
      </c>
      <c r="C28" s="1">
        <v>0</v>
      </c>
      <c r="D28" s="1">
        <v>12</v>
      </c>
      <c r="E28" s="1">
        <v>0</v>
      </c>
      <c r="F28" s="1">
        <v>0</v>
      </c>
      <c r="G28" s="1">
        <v>0</v>
      </c>
      <c r="H28" s="1">
        <v>1</v>
      </c>
      <c r="I28" s="1">
        <v>2</v>
      </c>
      <c r="J28" s="11"/>
      <c r="K28" s="11"/>
      <c r="L28" s="11"/>
    </row>
    <row r="29" spans="1:12" x14ac:dyDescent="0.45">
      <c r="A29" s="6"/>
      <c r="B29" s="1">
        <v>0</v>
      </c>
      <c r="C29" s="1">
        <v>1</v>
      </c>
      <c r="D29" s="1">
        <v>32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1"/>
      <c r="K29" s="11"/>
      <c r="L29" s="11"/>
    </row>
    <row r="30" spans="1:12" x14ac:dyDescent="0.45">
      <c r="A30" s="6"/>
      <c r="B30" s="1">
        <v>1</v>
      </c>
      <c r="C30" s="1">
        <v>0</v>
      </c>
      <c r="D30" s="1">
        <v>9</v>
      </c>
      <c r="E30" s="1">
        <v>0</v>
      </c>
      <c r="F30" s="1">
        <v>0</v>
      </c>
      <c r="G30" s="1">
        <v>0</v>
      </c>
      <c r="H30" s="1">
        <v>1</v>
      </c>
      <c r="I30" s="1">
        <v>2</v>
      </c>
      <c r="J30" s="11"/>
      <c r="K30" s="11"/>
      <c r="L30" s="11"/>
    </row>
    <row r="31" spans="1:12" x14ac:dyDescent="0.45">
      <c r="A31" s="6"/>
      <c r="B31" s="6"/>
      <c r="C31" s="6"/>
      <c r="D31" s="6"/>
      <c r="E31" s="6"/>
      <c r="F31" s="6"/>
      <c r="G31" s="6"/>
      <c r="J31" s="11"/>
      <c r="K31" s="11"/>
      <c r="L31" s="11"/>
    </row>
    <row r="32" spans="1:12" x14ac:dyDescent="0.45">
      <c r="A32" s="6" t="s">
        <v>45</v>
      </c>
      <c r="B32" t="s">
        <v>34</v>
      </c>
    </row>
    <row r="33" spans="2:10" x14ac:dyDescent="0.45">
      <c r="B33" s="4" t="s">
        <v>22</v>
      </c>
      <c r="C33" s="4" t="s">
        <v>23</v>
      </c>
      <c r="D33" s="4" t="s">
        <v>24</v>
      </c>
      <c r="E33" s="4" t="s">
        <v>25</v>
      </c>
      <c r="F33" s="4" t="s">
        <v>26</v>
      </c>
      <c r="G33" s="4" t="s">
        <v>27</v>
      </c>
      <c r="H33" s="4" t="s">
        <v>28</v>
      </c>
      <c r="I33" s="9" t="s">
        <v>44</v>
      </c>
    </row>
    <row r="34" spans="2:10" x14ac:dyDescent="0.45">
      <c r="B34" s="1">
        <f>AVERAGE(B25:B30)</f>
        <v>0.5</v>
      </c>
      <c r="C34" s="1">
        <f>AVERAGE(C25:C30)</f>
        <v>0.5</v>
      </c>
      <c r="D34" s="1">
        <f>AVERAGE(D25:D30)</f>
        <v>27.5</v>
      </c>
      <c r="E34" s="1">
        <f>AVERAGE(E25:E30)</f>
        <v>0.16666666666666666</v>
      </c>
      <c r="F34" s="1">
        <f>AVERAGE(F25:F30)</f>
        <v>0.33333333333333331</v>
      </c>
      <c r="G34" s="1">
        <f>AVERAGE(G25:G30)</f>
        <v>0.16666666666666666</v>
      </c>
      <c r="H34" s="1">
        <f>AVERAGE(H25:H30)</f>
        <v>0.33333333333333331</v>
      </c>
      <c r="I34" s="10">
        <f>AVERAGE(I25:I30)</f>
        <v>1.1666666666666667</v>
      </c>
    </row>
    <row r="36" spans="2:10" x14ac:dyDescent="0.45">
      <c r="B36" t="s">
        <v>35</v>
      </c>
    </row>
    <row r="37" spans="2:10" x14ac:dyDescent="0.45">
      <c r="B37" s="4" t="s">
        <v>22</v>
      </c>
      <c r="C37" s="4" t="s">
        <v>23</v>
      </c>
      <c r="D37" s="4" t="s">
        <v>24</v>
      </c>
      <c r="E37" s="4" t="s">
        <v>25</v>
      </c>
      <c r="F37" s="4" t="s">
        <v>26</v>
      </c>
      <c r="G37" s="4" t="s">
        <v>27</v>
      </c>
      <c r="H37" s="4" t="s">
        <v>28</v>
      </c>
      <c r="I37" s="9" t="s">
        <v>44</v>
      </c>
    </row>
    <row r="38" spans="2:10" x14ac:dyDescent="0.45">
      <c r="B38" s="1">
        <f>_xlfn.STDEV.P(B25:B30)</f>
        <v>0.5</v>
      </c>
      <c r="C38" s="1">
        <f>_xlfn.STDEV.P(C25:C30)</f>
        <v>0.5</v>
      </c>
      <c r="D38" s="1">
        <f>_xlfn.STDEV.P(D25:D30)</f>
        <v>18.5</v>
      </c>
      <c r="E38" s="1">
        <f>_xlfn.STDEV.P(E25:E30)</f>
        <v>0.37267799624996495</v>
      </c>
      <c r="F38" s="1">
        <f>_xlfn.STDEV.P(F25:F30)</f>
        <v>0.47140452079103168</v>
      </c>
      <c r="G38" s="1">
        <f>_xlfn.STDEV.P(G25:G30)</f>
        <v>0.37267799624996495</v>
      </c>
      <c r="H38" s="1">
        <f>_xlfn.STDEV.P(H25:H30)</f>
        <v>0.47140452079103168</v>
      </c>
      <c r="I38" s="10">
        <f>_xlfn.STDEV.P(I25:I30)</f>
        <v>0.89752746785575066</v>
      </c>
    </row>
    <row r="40" spans="2:10" x14ac:dyDescent="0.45">
      <c r="B40" t="s">
        <v>36</v>
      </c>
    </row>
    <row r="41" spans="2:10" x14ac:dyDescent="0.45">
      <c r="B41" s="4" t="s">
        <v>22</v>
      </c>
      <c r="C41" s="4" t="s">
        <v>23</v>
      </c>
      <c r="D41" s="4" t="s">
        <v>24</v>
      </c>
      <c r="E41" s="4" t="s">
        <v>25</v>
      </c>
      <c r="F41" s="4" t="s">
        <v>26</v>
      </c>
      <c r="G41" s="4" t="s">
        <v>27</v>
      </c>
      <c r="H41" s="4" t="s">
        <v>28</v>
      </c>
      <c r="I41" s="9" t="s">
        <v>44</v>
      </c>
    </row>
    <row r="42" spans="2:10" x14ac:dyDescent="0.45">
      <c r="B42" s="1">
        <f>(B25-B34)/B38</f>
        <v>-1</v>
      </c>
      <c r="C42" s="1">
        <f>(C25-C34)/C38</f>
        <v>1</v>
      </c>
      <c r="D42" s="1">
        <f>(D25-D34)/D38</f>
        <v>2.0270270270270272</v>
      </c>
      <c r="E42" s="1">
        <f>(E25-E34)/E38</f>
        <v>2.2360679774997898</v>
      </c>
      <c r="F42" s="1">
        <f>(F25-F34)/F38</f>
        <v>-0.70710678118654746</v>
      </c>
      <c r="G42" s="1">
        <f>(G25-G34)/G38</f>
        <v>-0.44721359549995793</v>
      </c>
      <c r="H42" s="1">
        <f>(H25-H34)/H38</f>
        <v>-0.70710678118654746</v>
      </c>
      <c r="I42" s="10">
        <f>(I25-I34)/I38</f>
        <v>-1.2998673672393632</v>
      </c>
    </row>
    <row r="43" spans="2:10" x14ac:dyDescent="0.45">
      <c r="B43" s="1">
        <f>(B26-B34)/B38</f>
        <v>1</v>
      </c>
      <c r="C43" s="1">
        <f>(C26-C34)/C38</f>
        <v>-1</v>
      </c>
      <c r="D43" s="1">
        <f>(D26-D34)/D38</f>
        <v>-8.1081081081081086E-2</v>
      </c>
      <c r="E43" s="1">
        <f>(E26-E34)/E38</f>
        <v>-0.44721359549995793</v>
      </c>
      <c r="F43" s="1">
        <f>(F26-F34)/F38</f>
        <v>1.4142135623730951</v>
      </c>
      <c r="G43" s="1">
        <f>(G26-G34)/G38</f>
        <v>-0.44721359549995793</v>
      </c>
      <c r="H43" s="1">
        <f>(H26-H34)/H38</f>
        <v>-0.70710678118654746</v>
      </c>
      <c r="I43" s="13">
        <f>(I26-I34)/I38</f>
        <v>0.92847669088525919</v>
      </c>
      <c r="J43" s="11"/>
    </row>
    <row r="44" spans="2:10" x14ac:dyDescent="0.45">
      <c r="B44" s="1">
        <f>(B27-B34)/B38</f>
        <v>-1</v>
      </c>
      <c r="C44" s="1">
        <f>(C27-C34)/C38</f>
        <v>1</v>
      </c>
      <c r="D44" s="1">
        <f>(D27-D34)/D38</f>
        <v>-0.35135135135135137</v>
      </c>
      <c r="E44" s="1">
        <f>(E27-E34)/E38</f>
        <v>-0.44721359549995793</v>
      </c>
      <c r="F44" s="1">
        <f>(F27-F34)/F38</f>
        <v>-0.70710678118654746</v>
      </c>
      <c r="G44" s="1">
        <f>(G27-G34)/G38</f>
        <v>2.2360679774997898</v>
      </c>
      <c r="H44" s="1">
        <f>(H27-H34)/H38</f>
        <v>-0.70710678118654746</v>
      </c>
      <c r="I44" s="10">
        <f>(I27-I34)/I38</f>
        <v>-0.18569533817705194</v>
      </c>
      <c r="J44" s="11"/>
    </row>
    <row r="45" spans="2:10" x14ac:dyDescent="0.45">
      <c r="B45" s="1">
        <f>(B28-B34)/B38</f>
        <v>1</v>
      </c>
      <c r="C45" s="1">
        <f>(C28-C34)/C38</f>
        <v>-1</v>
      </c>
      <c r="D45" s="1">
        <f>(D28-D34)/D38</f>
        <v>-0.83783783783783783</v>
      </c>
      <c r="E45" s="1">
        <f>(E28-E34)/E38</f>
        <v>-0.44721359549995793</v>
      </c>
      <c r="F45" s="1">
        <f>(F28-F34)/F38</f>
        <v>-0.70710678118654746</v>
      </c>
      <c r="G45" s="1">
        <f>(G28-G34)/G38</f>
        <v>-0.44721359549995793</v>
      </c>
      <c r="H45" s="1">
        <f>(H28-H34)/H38</f>
        <v>1.4142135623730951</v>
      </c>
      <c r="I45" s="10">
        <f>(I28-I34)/I38</f>
        <v>0.92847669088525919</v>
      </c>
      <c r="J45" s="11"/>
    </row>
    <row r="46" spans="2:10" x14ac:dyDescent="0.45">
      <c r="B46" s="1">
        <f>(B29-B34)/B38</f>
        <v>-1</v>
      </c>
      <c r="C46" s="1">
        <f>(C29-C34)/C38</f>
        <v>1</v>
      </c>
      <c r="D46" s="1">
        <f>(D29-D34)/D38</f>
        <v>0.24324324324324326</v>
      </c>
      <c r="E46" s="1">
        <f>(E29-E34)/E38</f>
        <v>-0.44721359549995793</v>
      </c>
      <c r="F46" s="1">
        <f>(F29-F34)/F38</f>
        <v>1.4142135623730951</v>
      </c>
      <c r="G46" s="1">
        <f>(G29-G34)/G38</f>
        <v>-0.44721359549995793</v>
      </c>
      <c r="H46" s="1">
        <f>(H29-H34)/H38</f>
        <v>-0.70710678118654746</v>
      </c>
      <c r="I46" s="10">
        <f>(I29-I34)/I38</f>
        <v>-1.2998673672393632</v>
      </c>
      <c r="J46" s="11"/>
    </row>
    <row r="47" spans="2:10" x14ac:dyDescent="0.45">
      <c r="B47" s="1">
        <f>(B30-B34)/B38</f>
        <v>1</v>
      </c>
      <c r="C47" s="1">
        <f>(C30-C34)/C38</f>
        <v>-1</v>
      </c>
      <c r="D47" s="1">
        <f>(D30-D34)/D38</f>
        <v>-1</v>
      </c>
      <c r="E47" s="1">
        <f>(E30-E34)/E38</f>
        <v>-0.44721359549995793</v>
      </c>
      <c r="F47" s="1">
        <f>(F30-F34)/F38</f>
        <v>-0.70710678118654746</v>
      </c>
      <c r="G47" s="1">
        <f>(G30-G34)/G38</f>
        <v>-0.44721359549995793</v>
      </c>
      <c r="H47" s="1">
        <f>(H30-H34)/H38</f>
        <v>1.4142135623730951</v>
      </c>
      <c r="I47" s="10">
        <f>(I30-I34)/I38</f>
        <v>0.92847669088525919</v>
      </c>
      <c r="J47" s="11"/>
    </row>
    <row r="48" spans="2:10" x14ac:dyDescent="0.45">
      <c r="J48" s="11"/>
    </row>
    <row r="49" spans="2:10" x14ac:dyDescent="0.45">
      <c r="B49" t="s">
        <v>37</v>
      </c>
      <c r="J49" s="11"/>
    </row>
    <row r="50" spans="2:10" x14ac:dyDescent="0.45">
      <c r="B50" s="4" t="s">
        <v>22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4" t="s">
        <v>28</v>
      </c>
      <c r="I50" s="9" t="s">
        <v>44</v>
      </c>
      <c r="J50" s="11"/>
    </row>
    <row r="51" spans="2:10" x14ac:dyDescent="0.45">
      <c r="B51" s="1">
        <f>AVERAGE(B42:B47)</f>
        <v>0</v>
      </c>
      <c r="C51" s="1">
        <f>AVERAGE(C42:C47)</f>
        <v>0</v>
      </c>
      <c r="D51" s="1">
        <f>AVERAGE(D42:D47)</f>
        <v>0</v>
      </c>
      <c r="E51" s="1">
        <f>AVERAGE(E42:E47)</f>
        <v>0</v>
      </c>
      <c r="F51" s="1">
        <f>AVERAGE(F42:F47)</f>
        <v>0</v>
      </c>
      <c r="G51" s="1">
        <f>AVERAGE(G42:G47)</f>
        <v>0</v>
      </c>
      <c r="H51" s="1">
        <f>AVERAGE(H42:H47)</f>
        <v>0</v>
      </c>
      <c r="I51" s="12">
        <f>AVERAGE(I42:I47)</f>
        <v>-1.4802973661668753E-16</v>
      </c>
      <c r="J51" s="11"/>
    </row>
    <row r="52" spans="2:10" x14ac:dyDescent="0.45">
      <c r="J52" s="11"/>
    </row>
    <row r="53" spans="2:10" x14ac:dyDescent="0.45">
      <c r="B53" t="s">
        <v>35</v>
      </c>
      <c r="J53" s="11"/>
    </row>
    <row r="54" spans="2:10" x14ac:dyDescent="0.45">
      <c r="B54" s="4" t="s">
        <v>22</v>
      </c>
      <c r="C54" s="4" t="s">
        <v>23</v>
      </c>
      <c r="D54" s="4" t="s">
        <v>24</v>
      </c>
      <c r="E54" s="4" t="s">
        <v>25</v>
      </c>
      <c r="F54" s="4" t="s">
        <v>26</v>
      </c>
      <c r="G54" s="4" t="s">
        <v>27</v>
      </c>
      <c r="H54" s="4" t="s">
        <v>28</v>
      </c>
      <c r="I54" s="9" t="s">
        <v>44</v>
      </c>
      <c r="J54" s="11"/>
    </row>
    <row r="55" spans="2:10" x14ac:dyDescent="0.45">
      <c r="B55" s="1">
        <f>_xlfn.STDEV.P(B42:B47)</f>
        <v>1</v>
      </c>
      <c r="C55" s="1">
        <f>_xlfn.STDEV.P(C42:C47)</f>
        <v>1</v>
      </c>
      <c r="D55" s="1">
        <f>_xlfn.STDEV.P(D42:D47)</f>
        <v>1</v>
      </c>
      <c r="E55" s="1">
        <f>_xlfn.STDEV.P(E42:E47)</f>
        <v>1.0000000000000002</v>
      </c>
      <c r="F55" s="1">
        <f>_xlfn.STDEV.P(F42:F47)</f>
        <v>1</v>
      </c>
      <c r="G55" s="1">
        <f>_xlfn.STDEV.P(G42:G47)</f>
        <v>1.0000000000000002</v>
      </c>
      <c r="H55" s="1">
        <f>_xlfn.STDEV.P(H42:H47)</f>
        <v>1</v>
      </c>
      <c r="I55" s="10">
        <f>_xlfn.STDEV.P(I42:I47)</f>
        <v>1</v>
      </c>
      <c r="J55" s="11"/>
    </row>
    <row r="56" spans="2:10" x14ac:dyDescent="0.45">
      <c r="I56" s="11"/>
      <c r="J56" s="11"/>
    </row>
    <row r="57" spans="2:10" x14ac:dyDescent="0.45">
      <c r="I57" s="11"/>
      <c r="J57" s="11"/>
    </row>
    <row r="58" spans="2:10" x14ac:dyDescent="0.45">
      <c r="I58" s="11"/>
      <c r="J58" s="11"/>
    </row>
    <row r="59" spans="2:10" x14ac:dyDescent="0.45">
      <c r="I59" s="11"/>
      <c r="J59" s="11"/>
    </row>
    <row r="60" spans="2:10" x14ac:dyDescent="0.45">
      <c r="I60" s="11"/>
      <c r="J60" s="11"/>
    </row>
    <row r="61" spans="2:10" x14ac:dyDescent="0.45">
      <c r="I61" s="11"/>
      <c r="J61" s="11"/>
    </row>
    <row r="62" spans="2:10" x14ac:dyDescent="0.45">
      <c r="I62" s="11"/>
      <c r="J62" s="11"/>
    </row>
    <row r="63" spans="2:10" x14ac:dyDescent="0.45">
      <c r="I63" s="11"/>
      <c r="J63" s="11"/>
    </row>
    <row r="64" spans="2:10" x14ac:dyDescent="0.45">
      <c r="I64" s="11"/>
      <c r="J64" s="11"/>
    </row>
    <row r="65" spans="9:10" x14ac:dyDescent="0.45">
      <c r="I65" s="11"/>
      <c r="J65" s="11"/>
    </row>
    <row r="66" spans="9:10" x14ac:dyDescent="0.45">
      <c r="I66" s="11"/>
      <c r="J66" s="11"/>
    </row>
  </sheetData>
  <mergeCells count="5">
    <mergeCell ref="A14:G14"/>
    <mergeCell ref="A10:G10"/>
    <mergeCell ref="A11:G11"/>
    <mergeCell ref="A12:G12"/>
    <mergeCell ref="A13:G1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EjercicioPropuesto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2026-05-06T20:57:33Z</dcterms:modified>
</cp:coreProperties>
</file>