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8_{655F069C-C4FE-42C4-9143-309E455B30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E3" i="1" s="1"/>
  <c r="C23" i="1"/>
  <c r="D23" i="1"/>
  <c r="C24" i="1"/>
  <c r="D24" i="1"/>
  <c r="C25" i="1"/>
  <c r="D25" i="1"/>
  <c r="C26" i="1"/>
  <c r="D26" i="1"/>
  <c r="C27" i="1"/>
  <c r="D27" i="1"/>
  <c r="B27" i="1"/>
  <c r="E27" i="1" s="1"/>
  <c r="B26" i="1"/>
  <c r="E26" i="1" s="1"/>
  <c r="B25" i="1"/>
  <c r="E25" i="1" s="1"/>
  <c r="B23" i="1"/>
  <c r="E23" i="1" s="1"/>
  <c r="B24" i="1"/>
  <c r="E24" i="1" s="1"/>
  <c r="E2" i="1"/>
  <c r="H20" i="1"/>
  <c r="D15" i="1"/>
  <c r="C18" i="1"/>
  <c r="C15" i="1"/>
  <c r="D16" i="1"/>
  <c r="D17" i="1"/>
  <c r="D18" i="1"/>
  <c r="C17" i="1"/>
  <c r="C16" i="1"/>
  <c r="B18" i="1"/>
  <c r="E18" i="1" s="1"/>
  <c r="B17" i="1"/>
  <c r="E17" i="1" s="1"/>
  <c r="B16" i="1"/>
  <c r="B15" i="1"/>
  <c r="E15" i="1" s="1"/>
  <c r="B14" i="1"/>
  <c r="E14" i="1" s="1"/>
  <c r="D14" i="1"/>
  <c r="C14" i="1"/>
  <c r="E10" i="1"/>
  <c r="E11" i="1" s="1"/>
  <c r="E16" i="1" l="1"/>
</calcChain>
</file>

<file path=xl/sharedStrings.xml><?xml version="1.0" encoding="utf-8"?>
<sst xmlns="http://schemas.openxmlformats.org/spreadsheetml/2006/main" count="60" uniqueCount="37">
  <si>
    <t>2. Identificar los K vecinos</t>
  </si>
  <si>
    <t>k=3</t>
  </si>
  <si>
    <t>1. Calcular distancias con euclidea</t>
  </si>
  <si>
    <t xml:space="preserve">1. Calcular distancias con Manhattan </t>
  </si>
  <si>
    <t>Manhattan</t>
  </si>
  <si>
    <t>Euclidea</t>
  </si>
  <si>
    <t>c1</t>
  </si>
  <si>
    <t>c2</t>
  </si>
  <si>
    <t>c3</t>
  </si>
  <si>
    <t>c4</t>
  </si>
  <si>
    <t>c5</t>
  </si>
  <si>
    <t>c6</t>
  </si>
  <si>
    <t>c7</t>
  </si>
  <si>
    <t>ID Casa</t>
  </si>
  <si>
    <t># Dormitorios</t>
  </si>
  <si>
    <t>Área Terreno (m²)</t>
  </si>
  <si>
    <t>Área Total (m²)</t>
  </si>
  <si>
    <t>Costo (USD)</t>
  </si>
  <si>
    <t>4. Calcular RMSE</t>
  </si>
  <si>
    <t>Train</t>
  </si>
  <si>
    <t>Test</t>
  </si>
  <si>
    <t>3. Calcular predicción costo c1 y c2</t>
  </si>
  <si>
    <t>4. Calcular RMSE: 9629.2378</t>
  </si>
  <si>
    <t>media costo:</t>
  </si>
  <si>
    <t>c1-c3:</t>
  </si>
  <si>
    <t>c1-c4</t>
  </si>
  <si>
    <t>c1-c5</t>
  </si>
  <si>
    <t>c1-c6</t>
  </si>
  <si>
    <t>c1-c7</t>
  </si>
  <si>
    <t>resta de cuadrados #dormitorios</t>
  </si>
  <si>
    <t>resta de cuad area total</t>
  </si>
  <si>
    <t>raiz cuadrada de sumatoria</t>
  </si>
  <si>
    <t>valores ordenados</t>
  </si>
  <si>
    <t>resta de cuadrados area terreno</t>
  </si>
  <si>
    <t>VARIABLE OBJETIVO</t>
  </si>
  <si>
    <t>Vecinos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</si>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</sst>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"/>
    <numFmt numFmtId="173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Fill="1"/>
    <xf numFmtId="0" fontId="0" fillId="5" borderId="1" xfId="0" applyFill="1" applyBorder="1"/>
    <xf numFmtId="0" fontId="0" fillId="0" borderId="1" xfId="0" applyBorder="1"/>
    <xf numFmtId="170" fontId="0" fillId="0" borderId="1" xfId="0" applyNumberFormat="1" applyBorder="1"/>
    <xf numFmtId="0" fontId="0" fillId="6" borderId="1" xfId="0" applyFill="1" applyBorder="1"/>
    <xf numFmtId="173" fontId="0" fillId="0" borderId="1" xfId="0" applyNumberFormat="1" applyBorder="1"/>
    <xf numFmtId="173" fontId="0" fillId="0" borderId="0" xfId="0" applyNumberFormat="1"/>
    <xf numFmtId="173" fontId="0" fillId="6" borderId="1" xfId="0" applyNumberFormat="1" applyFill="1" applyBorder="1"/>
    <xf numFmtId="173" fontId="0" fillId="3" borderId="1" xfId="0" applyNumberFormat="1" applyFill="1" applyBorder="1" applyAlignment="1">
      <alignment horizontal="center" vertical="center" wrapText="1"/>
    </xf>
    <xf numFmtId="173" fontId="0" fillId="2" borderId="1" xfId="0" applyNumberFormat="1" applyFill="1" applyBorder="1" applyAlignment="1">
      <alignment horizontal="center" vertical="center" wrapText="1"/>
    </xf>
    <xf numFmtId="173" fontId="0" fillId="2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73" fontId="0" fillId="0" borderId="0" xfId="0" applyNumberFormat="1" applyFill="1" applyBorder="1" applyAlignment="1">
      <alignment horizontal="center"/>
    </xf>
    <xf numFmtId="173" fontId="0" fillId="0" borderId="0" xfId="0" applyNumberFormat="1" applyFill="1" applyBorder="1" applyAlignment="1">
      <alignment horizontal="center" vertical="center" wrapText="1"/>
    </xf>
    <xf numFmtId="173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</xdr:colOff>
      <xdr:row>1</xdr:row>
      <xdr:rowOff>15240</xdr:rowOff>
    </xdr:from>
    <xdr:to>
      <xdr:col>21</xdr:col>
      <xdr:colOff>160456</xdr:colOff>
      <xdr:row>11</xdr:row>
      <xdr:rowOff>7778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355B23-C335-DA2A-BE35-C701555F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4720" y="563880"/>
          <a:ext cx="5029636" cy="1821338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13</xdr:row>
      <xdr:rowOff>7620</xdr:rowOff>
    </xdr:from>
    <xdr:to>
      <xdr:col>21</xdr:col>
      <xdr:colOff>328100</xdr:colOff>
      <xdr:row>22</xdr:row>
      <xdr:rowOff>167797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CBA6E5-0CF3-6768-2E8F-BEB4447C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6640" y="2567940"/>
          <a:ext cx="5075360" cy="180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2" max="2" width="28.33203125" customWidth="1"/>
    <col min="3" max="3" width="28.88671875" customWidth="1"/>
    <col min="4" max="4" width="22.88671875" customWidth="1"/>
    <col min="5" max="6" width="23.5546875" customWidth="1"/>
    <col min="7" max="7" width="21.33203125" customWidth="1"/>
    <col min="8" max="8" width="18.33203125" customWidth="1"/>
    <col min="9" max="9" width="10.77734375" customWidth="1"/>
  </cols>
  <sheetData>
    <row r="1" spans="1:13" ht="21.6" customHeigh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0"/>
    </row>
    <row r="2" spans="1:13" x14ac:dyDescent="0.3">
      <c r="A2" s="3" t="s">
        <v>6</v>
      </c>
      <c r="B2" s="3">
        <v>2</v>
      </c>
      <c r="C2" s="3">
        <v>150</v>
      </c>
      <c r="D2" s="3">
        <v>250</v>
      </c>
      <c r="E2" s="19">
        <f>H20</f>
        <v>72666.666666666672</v>
      </c>
      <c r="F2" s="21"/>
      <c r="I2" t="s">
        <v>2</v>
      </c>
      <c r="M2" s="1" t="s">
        <v>5</v>
      </c>
    </row>
    <row r="3" spans="1:13" x14ac:dyDescent="0.3">
      <c r="A3" s="3" t="s">
        <v>7</v>
      </c>
      <c r="B3" s="3">
        <v>3</v>
      </c>
      <c r="C3" s="3">
        <v>180</v>
      </c>
      <c r="D3" s="3">
        <v>300</v>
      </c>
      <c r="E3" s="18">
        <f>H29</f>
        <v>80000</v>
      </c>
      <c r="F3" s="22"/>
      <c r="I3" t="s">
        <v>0</v>
      </c>
      <c r="L3" t="s">
        <v>1</v>
      </c>
    </row>
    <row r="4" spans="1:13" x14ac:dyDescent="0.3">
      <c r="A4" s="4" t="s">
        <v>8</v>
      </c>
      <c r="B4" s="4">
        <v>4</v>
      </c>
      <c r="C4" s="4">
        <v>200</v>
      </c>
      <c r="D4" s="4">
        <v>320</v>
      </c>
      <c r="E4" s="17">
        <v>90000</v>
      </c>
      <c r="F4" s="22"/>
      <c r="I4" t="s">
        <v>21</v>
      </c>
    </row>
    <row r="5" spans="1:13" x14ac:dyDescent="0.3">
      <c r="A5" s="4" t="s">
        <v>9</v>
      </c>
      <c r="B5" s="4">
        <v>2</v>
      </c>
      <c r="C5" s="4">
        <v>140</v>
      </c>
      <c r="D5" s="4">
        <v>240</v>
      </c>
      <c r="E5" s="17">
        <v>58000</v>
      </c>
      <c r="F5" s="22"/>
      <c r="I5" t="s">
        <v>22</v>
      </c>
    </row>
    <row r="6" spans="1:13" x14ac:dyDescent="0.3">
      <c r="A6" s="4" t="s">
        <v>10</v>
      </c>
      <c r="B6" s="4">
        <v>3</v>
      </c>
      <c r="C6" s="4">
        <v>170</v>
      </c>
      <c r="D6" s="4">
        <v>290</v>
      </c>
      <c r="E6" s="17">
        <v>70000</v>
      </c>
      <c r="F6" s="22"/>
    </row>
    <row r="7" spans="1:13" x14ac:dyDescent="0.3">
      <c r="A7" s="4" t="s">
        <v>11</v>
      </c>
      <c r="B7" s="4">
        <v>3</v>
      </c>
      <c r="C7" s="4">
        <v>210</v>
      </c>
      <c r="D7" s="4">
        <v>350</v>
      </c>
      <c r="E7" s="17">
        <v>80000</v>
      </c>
      <c r="F7" s="22"/>
      <c r="I7" t="s">
        <v>3</v>
      </c>
    </row>
    <row r="8" spans="1:13" x14ac:dyDescent="0.3">
      <c r="A8" s="4" t="s">
        <v>12</v>
      </c>
      <c r="B8" s="4">
        <v>4</v>
      </c>
      <c r="C8" s="4">
        <v>230</v>
      </c>
      <c r="D8" s="4">
        <v>380</v>
      </c>
      <c r="E8" s="17">
        <v>95000</v>
      </c>
      <c r="F8" s="22"/>
      <c r="I8" t="s">
        <v>0</v>
      </c>
      <c r="L8" t="s">
        <v>1</v>
      </c>
    </row>
    <row r="9" spans="1:13" x14ac:dyDescent="0.3">
      <c r="E9" s="15"/>
      <c r="F9" s="23"/>
      <c r="I9" t="s">
        <v>21</v>
      </c>
    </row>
    <row r="10" spans="1:13" x14ac:dyDescent="0.3">
      <c r="A10" s="5" t="s">
        <v>19</v>
      </c>
      <c r="D10" s="7" t="s">
        <v>23</v>
      </c>
      <c r="E10" s="17">
        <f>AVERAGE(E4:E8)</f>
        <v>78600</v>
      </c>
      <c r="F10" s="22"/>
      <c r="I10" t="s">
        <v>18</v>
      </c>
    </row>
    <row r="11" spans="1:13" x14ac:dyDescent="0.3">
      <c r="A11" s="6" t="s">
        <v>20</v>
      </c>
      <c r="D11" s="8">
        <v>0.1</v>
      </c>
      <c r="E11">
        <f>E10/10</f>
        <v>7860</v>
      </c>
      <c r="F11" s="24"/>
    </row>
    <row r="12" spans="1:13" x14ac:dyDescent="0.3">
      <c r="A12" s="9"/>
      <c r="D12" s="8"/>
      <c r="F12" s="24"/>
    </row>
    <row r="13" spans="1:13" x14ac:dyDescent="0.3">
      <c r="A13" s="10"/>
      <c r="B13" s="10" t="s">
        <v>29</v>
      </c>
      <c r="C13" s="10" t="s">
        <v>33</v>
      </c>
      <c r="D13" s="10" t="s">
        <v>30</v>
      </c>
      <c r="E13" s="10" t="s">
        <v>31</v>
      </c>
      <c r="F13" s="24"/>
      <c r="G13" s="10" t="s">
        <v>32</v>
      </c>
      <c r="H13" s="10" t="s">
        <v>34</v>
      </c>
      <c r="I13" s="10" t="s">
        <v>35</v>
      </c>
    </row>
    <row r="14" spans="1:13" x14ac:dyDescent="0.3">
      <c r="A14" s="11" t="s">
        <v>24</v>
      </c>
      <c r="B14" s="11">
        <f>(B2-B4)^2</f>
        <v>4</v>
      </c>
      <c r="C14" s="11">
        <f>(C2-C4)^2</f>
        <v>2500</v>
      </c>
      <c r="D14" s="11">
        <f>(D2-D4)^2</f>
        <v>4900</v>
      </c>
      <c r="E14" s="11">
        <f>SQRT(SUM(B14:D14))</f>
        <v>86.046499057195817</v>
      </c>
      <c r="F14" s="24"/>
      <c r="G14" s="12">
        <v>14.142135623730951</v>
      </c>
      <c r="H14" s="14">
        <v>58000</v>
      </c>
      <c r="I14" s="11" t="s">
        <v>9</v>
      </c>
      <c r="M14" s="1" t="s">
        <v>4</v>
      </c>
    </row>
    <row r="15" spans="1:13" x14ac:dyDescent="0.3">
      <c r="A15" s="11" t="s">
        <v>25</v>
      </c>
      <c r="B15" s="11">
        <f>(B2-B5)^2</f>
        <v>0</v>
      </c>
      <c r="C15" s="11">
        <f>(C2-C5)^2</f>
        <v>100</v>
      </c>
      <c r="D15" s="11">
        <f>(D2-D5)^2</f>
        <v>100</v>
      </c>
      <c r="E15" s="11">
        <f t="shared" ref="E15:E18" si="0">SQRT(SUM(B15:D15))</f>
        <v>14.142135623730951</v>
      </c>
      <c r="F15" s="24"/>
      <c r="G15" s="12">
        <v>44.732538492690082</v>
      </c>
      <c r="H15" s="14">
        <v>70000</v>
      </c>
      <c r="I15" s="11" t="s">
        <v>10</v>
      </c>
    </row>
    <row r="16" spans="1:13" x14ac:dyDescent="0.3">
      <c r="A16" s="11" t="s">
        <v>26</v>
      </c>
      <c r="B16" s="11">
        <f>(B2-B6)^2</f>
        <v>1</v>
      </c>
      <c r="C16" s="11">
        <f>(C2-C6)^2</f>
        <v>400</v>
      </c>
      <c r="D16" s="11">
        <f>(D2-D6)^2</f>
        <v>1600</v>
      </c>
      <c r="E16" s="11">
        <f t="shared" si="0"/>
        <v>44.732538492690082</v>
      </c>
      <c r="F16" s="24"/>
      <c r="G16" s="12">
        <v>86.046499057195817</v>
      </c>
      <c r="H16" s="14">
        <v>90000</v>
      </c>
      <c r="I16" s="11" t="s">
        <v>8</v>
      </c>
      <c r="K16" t="s">
        <v>36</v>
      </c>
    </row>
    <row r="17" spans="1:9" x14ac:dyDescent="0.3">
      <c r="A17" s="11" t="s">
        <v>27</v>
      </c>
      <c r="B17" s="11">
        <f>(B2-B7)^2</f>
        <v>1</v>
      </c>
      <c r="C17" s="11">
        <f>(C2-C7)^2</f>
        <v>3600</v>
      </c>
      <c r="D17" s="11">
        <f>(D2-D7)^2</f>
        <v>10000</v>
      </c>
      <c r="E17" s="11">
        <f t="shared" si="0"/>
        <v>116.62332528272378</v>
      </c>
      <c r="F17" s="24"/>
      <c r="G17" s="12">
        <v>116.62332528272378</v>
      </c>
      <c r="H17" s="14">
        <v>80000</v>
      </c>
      <c r="I17" s="11"/>
    </row>
    <row r="18" spans="1:9" x14ac:dyDescent="0.3">
      <c r="A18" s="11" t="s">
        <v>28</v>
      </c>
      <c r="B18" s="11">
        <f>(B2-B8)^2</f>
        <v>4</v>
      </c>
      <c r="C18" s="11">
        <f>(C2-C8)^2</f>
        <v>6400</v>
      </c>
      <c r="D18" s="11">
        <f>(D2-D8)^2</f>
        <v>16900</v>
      </c>
      <c r="E18" s="11">
        <f t="shared" si="0"/>
        <v>152.65647709809105</v>
      </c>
      <c r="F18" s="24"/>
      <c r="G18" s="12">
        <v>152.65647709809105</v>
      </c>
      <c r="H18" s="14">
        <v>95000</v>
      </c>
      <c r="I18" s="11"/>
    </row>
    <row r="19" spans="1:9" x14ac:dyDescent="0.3">
      <c r="F19" s="24"/>
      <c r="H19" s="15"/>
    </row>
    <row r="20" spans="1:9" x14ac:dyDescent="0.3">
      <c r="F20" s="24"/>
      <c r="G20" s="13" t="s">
        <v>6</v>
      </c>
      <c r="H20" s="16">
        <f>AVERAGE(H14:H16)</f>
        <v>72666.666666666672</v>
      </c>
    </row>
    <row r="21" spans="1:9" x14ac:dyDescent="0.3">
      <c r="F21" s="24"/>
    </row>
    <row r="22" spans="1:9" x14ac:dyDescent="0.3">
      <c r="A22" s="10"/>
      <c r="B22" s="10" t="s">
        <v>29</v>
      </c>
      <c r="C22" s="10" t="s">
        <v>33</v>
      </c>
      <c r="D22" s="10" t="s">
        <v>30</v>
      </c>
      <c r="E22" s="10" t="s">
        <v>31</v>
      </c>
      <c r="F22" s="24"/>
      <c r="G22" s="10" t="s">
        <v>32</v>
      </c>
      <c r="H22" s="10" t="s">
        <v>34</v>
      </c>
      <c r="I22" s="10" t="s">
        <v>35</v>
      </c>
    </row>
    <row r="23" spans="1:9" x14ac:dyDescent="0.3">
      <c r="A23" s="11" t="s">
        <v>24</v>
      </c>
      <c r="B23" s="11">
        <f>(B3-B4)^2</f>
        <v>1</v>
      </c>
      <c r="C23" s="11">
        <f t="shared" ref="C23:D23" si="1">(C3-C4)^2</f>
        <v>400</v>
      </c>
      <c r="D23" s="11">
        <f t="shared" si="1"/>
        <v>400</v>
      </c>
      <c r="E23" s="11">
        <f>SQRT(SUM(B23:D23))</f>
        <v>28.301943396169811</v>
      </c>
      <c r="F23" s="24"/>
      <c r="G23" s="12">
        <v>14.142135623730951</v>
      </c>
      <c r="H23" s="14">
        <v>70000</v>
      </c>
      <c r="I23" s="11" t="s">
        <v>10</v>
      </c>
    </row>
    <row r="24" spans="1:9" x14ac:dyDescent="0.3">
      <c r="A24" s="11" t="s">
        <v>25</v>
      </c>
      <c r="B24" s="11">
        <f>(B3-B5)^2</f>
        <v>1</v>
      </c>
      <c r="C24" s="11">
        <f t="shared" ref="C24:D24" si="2">(C3-C5)^2</f>
        <v>1600</v>
      </c>
      <c r="D24" s="11">
        <f t="shared" si="2"/>
        <v>3600</v>
      </c>
      <c r="E24" s="11">
        <f t="shared" ref="E24:E27" si="3">SQRT(SUM(B24:D24))</f>
        <v>72.11795892841117</v>
      </c>
      <c r="F24" s="24"/>
      <c r="G24" s="12">
        <v>28.301943396169811</v>
      </c>
      <c r="H24" s="14">
        <v>90000</v>
      </c>
      <c r="I24" s="11" t="s">
        <v>8</v>
      </c>
    </row>
    <row r="25" spans="1:9" x14ac:dyDescent="0.3">
      <c r="A25" s="11" t="s">
        <v>26</v>
      </c>
      <c r="B25" s="11">
        <f>(B3-B6)^2</f>
        <v>0</v>
      </c>
      <c r="C25" s="11">
        <f t="shared" ref="C25:D25" si="4">(C3-C6)^2</f>
        <v>100</v>
      </c>
      <c r="D25" s="11">
        <f t="shared" si="4"/>
        <v>100</v>
      </c>
      <c r="E25" s="11">
        <f t="shared" si="3"/>
        <v>14.142135623730951</v>
      </c>
      <c r="F25" s="24"/>
      <c r="G25" s="12">
        <v>58.309518948453004</v>
      </c>
      <c r="H25" s="14">
        <v>80000</v>
      </c>
      <c r="I25" s="11" t="s">
        <v>11</v>
      </c>
    </row>
    <row r="26" spans="1:9" x14ac:dyDescent="0.3">
      <c r="A26" s="11" t="s">
        <v>27</v>
      </c>
      <c r="B26" s="11">
        <f>(B3-B7)^2</f>
        <v>0</v>
      </c>
      <c r="C26" s="11">
        <f t="shared" ref="C26:D26" si="5">(C3-C7)^2</f>
        <v>900</v>
      </c>
      <c r="D26" s="11">
        <f t="shared" si="5"/>
        <v>2500</v>
      </c>
      <c r="E26" s="11">
        <f t="shared" si="3"/>
        <v>58.309518948453004</v>
      </c>
      <c r="F26" s="24"/>
      <c r="G26" s="12">
        <v>72.11795892841117</v>
      </c>
      <c r="H26" s="14">
        <v>58000</v>
      </c>
      <c r="I26" s="11"/>
    </row>
    <row r="27" spans="1:9" x14ac:dyDescent="0.3">
      <c r="A27" s="11" t="s">
        <v>28</v>
      </c>
      <c r="B27" s="11">
        <f>(B3-B8)^2</f>
        <v>1</v>
      </c>
      <c r="C27" s="11">
        <f t="shared" ref="C27:D27" si="6">(C3-C8)^2</f>
        <v>2500</v>
      </c>
      <c r="D27" s="11">
        <f t="shared" si="6"/>
        <v>6400</v>
      </c>
      <c r="E27" s="11">
        <f t="shared" si="3"/>
        <v>94.34511116109833</v>
      </c>
      <c r="F27" s="24"/>
      <c r="G27" s="12">
        <v>94.34511116109833</v>
      </c>
      <c r="H27" s="14">
        <v>95000</v>
      </c>
      <c r="I27" s="11"/>
    </row>
    <row r="28" spans="1:9" x14ac:dyDescent="0.3">
      <c r="F28" s="24"/>
      <c r="H28" s="15"/>
    </row>
    <row r="29" spans="1:9" x14ac:dyDescent="0.3">
      <c r="F29" s="24"/>
      <c r="G29" s="13" t="s">
        <v>6</v>
      </c>
      <c r="H29" s="16">
        <f>AVERAGE(H23:H25)</f>
        <v>80000</v>
      </c>
    </row>
    <row r="30" spans="1:9" x14ac:dyDescent="0.3">
      <c r="F30" s="24"/>
    </row>
    <row r="31" spans="1:9" x14ac:dyDescent="0.3">
      <c r="F31" s="9"/>
    </row>
  </sheetData>
  <sortState xmlns:xlrd2="http://schemas.microsoft.com/office/spreadsheetml/2017/richdata2" ref="G23:G27">
    <sortCondition ref="G23:G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Remigio Ismael Hurtado Ortiz</dc:creator>
  <cp:lastModifiedBy>Est. Mario Sebastian Reinoso Regalado</cp:lastModifiedBy>
  <dcterms:created xsi:type="dcterms:W3CDTF">2015-06-05T18:19:34Z</dcterms:created>
  <dcterms:modified xsi:type="dcterms:W3CDTF">2026-04-29T20:57:34Z</dcterms:modified>
</cp:coreProperties>
</file>