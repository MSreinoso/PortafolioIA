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129BBF-BB38-4DAB-8EAE-A824F27B617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46" i="1"/>
  <c r="G23" i="1"/>
  <c r="B53" i="1"/>
  <c r="C41" i="1"/>
  <c r="C40" i="1"/>
  <c r="C51" i="1"/>
  <c r="D51" i="1"/>
  <c r="C52" i="1"/>
  <c r="D52" i="1"/>
  <c r="C53" i="1"/>
  <c r="D53" i="1"/>
  <c r="C54" i="1"/>
  <c r="D54" i="1"/>
  <c r="C55" i="1"/>
  <c r="D55" i="1"/>
  <c r="B55" i="1"/>
  <c r="E55" i="1" s="1"/>
  <c r="B54" i="1"/>
  <c r="E54" i="1" s="1"/>
  <c r="B52" i="1"/>
  <c r="B51" i="1"/>
  <c r="D40" i="1"/>
  <c r="D41" i="1"/>
  <c r="D42" i="1"/>
  <c r="D43" i="1"/>
  <c r="D44" i="1"/>
  <c r="C42" i="1"/>
  <c r="C43" i="1"/>
  <c r="C44" i="1"/>
  <c r="B44" i="1"/>
  <c r="E44" i="1" s="1"/>
  <c r="B43" i="1"/>
  <c r="E43" i="1" s="1"/>
  <c r="B41" i="1"/>
  <c r="B42" i="1"/>
  <c r="E42" i="1" s="1"/>
  <c r="B40" i="1"/>
  <c r="B32" i="1"/>
  <c r="B28" i="1"/>
  <c r="G34" i="1"/>
  <c r="C28" i="1"/>
  <c r="D28" i="1"/>
  <c r="C29" i="1"/>
  <c r="D29" i="1"/>
  <c r="C30" i="1"/>
  <c r="D30" i="1"/>
  <c r="C31" i="1"/>
  <c r="D31" i="1"/>
  <c r="C32" i="1"/>
  <c r="D32" i="1"/>
  <c r="E32" i="1"/>
  <c r="B31" i="1"/>
  <c r="E31" i="1" s="1"/>
  <c r="B30" i="1"/>
  <c r="E28" i="1"/>
  <c r="B29" i="1"/>
  <c r="E29" i="1" s="1"/>
  <c r="D18" i="1"/>
  <c r="C21" i="1"/>
  <c r="C18" i="1"/>
  <c r="D19" i="1"/>
  <c r="D20" i="1"/>
  <c r="D21" i="1"/>
  <c r="C20" i="1"/>
  <c r="C19" i="1"/>
  <c r="B21" i="1"/>
  <c r="E21" i="1" s="1"/>
  <c r="B20" i="1"/>
  <c r="E20" i="1" s="1"/>
  <c r="B19" i="1"/>
  <c r="B18" i="1"/>
  <c r="B17" i="1"/>
  <c r="D17" i="1"/>
  <c r="C17" i="1"/>
  <c r="E10" i="1"/>
  <c r="E11" i="1" s="1"/>
  <c r="E30" i="1" l="1"/>
  <c r="E18" i="1"/>
  <c r="E17" i="1"/>
  <c r="E53" i="1"/>
  <c r="E52" i="1"/>
  <c r="E51" i="1"/>
  <c r="E41" i="1"/>
  <c r="E40" i="1"/>
  <c r="E19" i="1"/>
</calcChain>
</file>

<file path=xl/sharedStrings.xml><?xml version="1.0" encoding="utf-8"?>
<sst xmlns="http://schemas.openxmlformats.org/spreadsheetml/2006/main" count="95" uniqueCount="49">
  <si>
    <t>2. Identificar los K vecinos</t>
  </si>
  <si>
    <t>k=3</t>
  </si>
  <si>
    <t>1. Calcular distancias con euclidea</t>
  </si>
  <si>
    <t xml:space="preserve">1. Calcular distancias con Manhattan </t>
  </si>
  <si>
    <t>Manhattan</t>
  </si>
  <si>
    <t>Euclidea</t>
  </si>
  <si>
    <t>c1</t>
  </si>
  <si>
    <t>c2</t>
  </si>
  <si>
    <t>c3</t>
  </si>
  <si>
    <t>c4</t>
  </si>
  <si>
    <t>c5</t>
  </si>
  <si>
    <t>c6</t>
  </si>
  <si>
    <t>c7</t>
  </si>
  <si>
    <t>ID Casa</t>
  </si>
  <si>
    <t># Dormitorios</t>
  </si>
  <si>
    <t>Área Terreno (m²)</t>
  </si>
  <si>
    <t>Área Total (m²)</t>
  </si>
  <si>
    <t>Costo (USD)</t>
  </si>
  <si>
    <t>4. Calcular RMSE</t>
  </si>
  <si>
    <t>Train</t>
  </si>
  <si>
    <t>Test</t>
  </si>
  <si>
    <t>3. Calcular predicción costo c1 y c2</t>
  </si>
  <si>
    <t>4. Calcular RMSE: 9629.2378</t>
  </si>
  <si>
    <t>media costo:</t>
  </si>
  <si>
    <t>c1-c3:</t>
  </si>
  <si>
    <t>c1-c4</t>
  </si>
  <si>
    <t>c1-c5</t>
  </si>
  <si>
    <t>c1-c6</t>
  </si>
  <si>
    <t>c1-c7</t>
  </si>
  <si>
    <t>resta de cuadrados #dormitorios</t>
  </si>
  <si>
    <t>resta de cuad area total</t>
  </si>
  <si>
    <t>raiz cuadrada de sumatoria</t>
  </si>
  <si>
    <t>valores ordenados</t>
  </si>
  <si>
    <t>resta de cuadrados area terreno</t>
  </si>
  <si>
    <t>VARIABLE OBJETIVO</t>
  </si>
  <si>
    <t>c2-c3:</t>
  </si>
  <si>
    <t>c2-c4</t>
  </si>
  <si>
    <t>c2-c5</t>
  </si>
  <si>
    <t>c2-c6</t>
  </si>
  <si>
    <t>c2-c7</t>
  </si>
  <si>
    <t>absoluto de resta  #dormitorios</t>
  </si>
  <si>
    <t>absoluto resta area terreno</t>
  </si>
  <si>
    <t>absoluto de resta area total</t>
  </si>
  <si>
    <t>sumatoria</t>
  </si>
  <si>
    <t>Vecinos K=3</t>
  </si>
  <si>
    <t>DISTANCIA EUCLIDEA C2</t>
  </si>
  <si>
    <t>DISTANCIA EUCLIDEA C1</t>
  </si>
  <si>
    <t>DISTANCIA MANHATTAN C2</t>
  </si>
  <si>
    <t>DISTANCIA MANHATTAN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</si>
</sst>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0" applyNumberFormat="1"/>
    <xf numFmtId="165" fontId="0" fillId="3" borderId="1" xfId="0" applyNumberForma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43563</xdr:colOff>
      <xdr:row>16</xdr:row>
      <xdr:rowOff>51183</xdr:rowOff>
    </xdr:from>
    <xdr:to>
      <xdr:col>21</xdr:col>
      <xdr:colOff>196400</xdr:colOff>
      <xdr:row>26</xdr:row>
      <xdr:rowOff>43721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355B23-C335-DA2A-BE35-C701555F0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5638" y="3016513"/>
          <a:ext cx="5184912" cy="1789708"/>
        </a:xfrm>
        <a:prstGeom prst="rect">
          <a:avLst/>
        </a:prstGeom>
      </xdr:spPr>
    </xdr:pic>
    <xdr:clientData/>
  </xdr:twoCellAnchor>
  <xdr:twoCellAnchor editAs="oneCell">
    <xdr:from>
      <xdr:col>13</xdr:col>
      <xdr:colOff>12724</xdr:colOff>
      <xdr:row>40</xdr:row>
      <xdr:rowOff>70520</xdr:rowOff>
    </xdr:from>
    <xdr:to>
      <xdr:col>21</xdr:col>
      <xdr:colOff>211285</xdr:colOff>
      <xdr:row>50</xdr:row>
      <xdr:rowOff>50979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ECBA6E5-0CF3-6768-2E8F-BEB4447C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74799" y="6989624"/>
          <a:ext cx="5230636" cy="1777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zoomScale="32" zoomScaleNormal="115" workbookViewId="0">
      <selection activeCell="F51" sqref="F51:H53"/>
    </sheetView>
  </sheetViews>
  <sheetFormatPr baseColWidth="10" defaultColWidth="8.86328125" defaultRowHeight="14.25" x14ac:dyDescent="0.45"/>
  <cols>
    <col min="2" max="2" width="28.33203125" customWidth="1"/>
    <col min="3" max="3" width="28.86328125" customWidth="1"/>
    <col min="4" max="4" width="22.86328125" customWidth="1"/>
    <col min="5" max="5" width="23.53125" customWidth="1"/>
    <col min="6" max="6" width="21.33203125" customWidth="1"/>
    <col min="7" max="7" width="18.33203125" customWidth="1"/>
    <col min="8" max="8" width="15.06640625" customWidth="1"/>
  </cols>
  <sheetData>
    <row r="1" spans="1:14" ht="21.6" customHeight="1" x14ac:dyDescent="0.4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14" x14ac:dyDescent="0.45">
      <c r="A2" s="3" t="s">
        <v>6</v>
      </c>
      <c r="B2" s="3">
        <v>2</v>
      </c>
      <c r="C2" s="3">
        <v>150</v>
      </c>
      <c r="D2" s="3">
        <v>250</v>
      </c>
      <c r="E2" s="11"/>
    </row>
    <row r="3" spans="1:14" x14ac:dyDescent="0.45">
      <c r="A3" s="25" t="s">
        <v>7</v>
      </c>
      <c r="B3" s="25">
        <v>3</v>
      </c>
      <c r="C3" s="25">
        <v>180</v>
      </c>
      <c r="D3" s="25">
        <v>300</v>
      </c>
      <c r="E3" s="26"/>
    </row>
    <row r="4" spans="1:14" x14ac:dyDescent="0.45">
      <c r="A4" s="4" t="s">
        <v>8</v>
      </c>
      <c r="B4" s="4">
        <v>4</v>
      </c>
      <c r="C4" s="4">
        <v>200</v>
      </c>
      <c r="D4" s="4">
        <v>320</v>
      </c>
      <c r="E4" s="10">
        <v>90000</v>
      </c>
    </row>
    <row r="5" spans="1:14" x14ac:dyDescent="0.45">
      <c r="A5" s="4" t="s">
        <v>9</v>
      </c>
      <c r="B5" s="4">
        <v>2</v>
      </c>
      <c r="C5" s="4">
        <v>140</v>
      </c>
      <c r="D5" s="4">
        <v>240</v>
      </c>
      <c r="E5" s="10">
        <v>58000</v>
      </c>
    </row>
    <row r="6" spans="1:14" x14ac:dyDescent="0.45">
      <c r="A6" s="4" t="s">
        <v>10</v>
      </c>
      <c r="B6" s="4">
        <v>3</v>
      </c>
      <c r="C6" s="4">
        <v>170</v>
      </c>
      <c r="D6" s="4">
        <v>290</v>
      </c>
      <c r="E6" s="10">
        <v>70000</v>
      </c>
    </row>
    <row r="7" spans="1:14" x14ac:dyDescent="0.45">
      <c r="A7" s="4" t="s">
        <v>11</v>
      </c>
      <c r="B7" s="4">
        <v>3</v>
      </c>
      <c r="C7" s="4">
        <v>210</v>
      </c>
      <c r="D7" s="4">
        <v>350</v>
      </c>
      <c r="E7" s="10">
        <v>80000</v>
      </c>
    </row>
    <row r="8" spans="1:14" x14ac:dyDescent="0.45">
      <c r="A8" s="4" t="s">
        <v>12</v>
      </c>
      <c r="B8" s="4">
        <v>4</v>
      </c>
      <c r="C8" s="4">
        <v>230</v>
      </c>
      <c r="D8" s="4">
        <v>380</v>
      </c>
      <c r="E8" s="10">
        <v>95000</v>
      </c>
    </row>
    <row r="9" spans="1:14" x14ac:dyDescent="0.45">
      <c r="E9" s="9"/>
    </row>
    <row r="10" spans="1:14" x14ac:dyDescent="0.45">
      <c r="A10" s="5" t="s">
        <v>19</v>
      </c>
      <c r="D10" s="7" t="s">
        <v>23</v>
      </c>
      <c r="E10" s="10">
        <f>AVERAGE(E4:E8)</f>
        <v>78600</v>
      </c>
    </row>
    <row r="11" spans="1:14" x14ac:dyDescent="0.45">
      <c r="A11" s="6" t="s">
        <v>20</v>
      </c>
      <c r="D11" s="8">
        <v>0.1</v>
      </c>
      <c r="E11">
        <f>E10/10</f>
        <v>7860</v>
      </c>
    </row>
    <row r="12" spans="1:14" x14ac:dyDescent="0.45">
      <c r="D12" s="8"/>
    </row>
    <row r="13" spans="1:14" x14ac:dyDescent="0.45">
      <c r="D13" s="8"/>
    </row>
    <row r="14" spans="1:14" x14ac:dyDescent="0.45">
      <c r="D14" s="8"/>
    </row>
    <row r="15" spans="1:14" x14ac:dyDescent="0.45">
      <c r="A15" s="23" t="s">
        <v>46</v>
      </c>
      <c r="B15" s="23"/>
      <c r="C15" s="23"/>
      <c r="D15" s="23"/>
      <c r="E15" s="23"/>
      <c r="F15" s="16"/>
      <c r="G15" s="16"/>
      <c r="H15" s="16"/>
    </row>
    <row r="16" spans="1:14" x14ac:dyDescent="0.45">
      <c r="A16" s="24"/>
      <c r="B16" s="24" t="s">
        <v>29</v>
      </c>
      <c r="C16" s="24" t="s">
        <v>33</v>
      </c>
      <c r="D16" s="24" t="s">
        <v>30</v>
      </c>
      <c r="E16" s="24" t="s">
        <v>31</v>
      </c>
      <c r="F16" s="24" t="s">
        <v>32</v>
      </c>
      <c r="G16" s="24" t="s">
        <v>34</v>
      </c>
      <c r="H16" s="24" t="s">
        <v>44</v>
      </c>
      <c r="J16" t="s">
        <v>2</v>
      </c>
      <c r="N16" s="1" t="s">
        <v>5</v>
      </c>
    </row>
    <row r="17" spans="1:13" x14ac:dyDescent="0.45">
      <c r="A17" s="12" t="s">
        <v>24</v>
      </c>
      <c r="B17" s="12">
        <f>(B2-B4)^2</f>
        <v>4</v>
      </c>
      <c r="C17" s="12">
        <f>(C2-C4)^2</f>
        <v>2500</v>
      </c>
      <c r="D17" s="12">
        <f>(D2-D4)^2</f>
        <v>4900</v>
      </c>
      <c r="E17" s="12">
        <f>SQRT(SUM(B17:D17))</f>
        <v>86.046499057195817</v>
      </c>
      <c r="F17" s="33">
        <v>14.142135623730951</v>
      </c>
      <c r="G17" s="34">
        <v>58000</v>
      </c>
      <c r="H17" s="35" t="s">
        <v>9</v>
      </c>
      <c r="J17" t="s">
        <v>0</v>
      </c>
      <c r="M17" t="s">
        <v>1</v>
      </c>
    </row>
    <row r="18" spans="1:13" x14ac:dyDescent="0.45">
      <c r="A18" s="12" t="s">
        <v>25</v>
      </c>
      <c r="B18" s="12">
        <f>(B2-B5)^2</f>
        <v>0</v>
      </c>
      <c r="C18" s="12">
        <f>(C2-C5)^2</f>
        <v>100</v>
      </c>
      <c r="D18" s="12">
        <f>(D2-D5)^2</f>
        <v>100</v>
      </c>
      <c r="E18" s="12">
        <f t="shared" ref="E18:E21" si="0">SQRT(SUM(B18:D18))</f>
        <v>14.142135623730951</v>
      </c>
      <c r="F18" s="33">
        <v>44.732538492690082</v>
      </c>
      <c r="G18" s="34">
        <v>70000</v>
      </c>
      <c r="H18" s="35" t="s">
        <v>10</v>
      </c>
      <c r="J18" t="s">
        <v>21</v>
      </c>
    </row>
    <row r="19" spans="1:13" x14ac:dyDescent="0.45">
      <c r="A19" s="12" t="s">
        <v>26</v>
      </c>
      <c r="B19" s="12">
        <f>(B2-B6)^2</f>
        <v>1</v>
      </c>
      <c r="C19" s="12">
        <f>(C2-C6)^2</f>
        <v>400</v>
      </c>
      <c r="D19" s="12">
        <f>(D2-D6)^2</f>
        <v>1600</v>
      </c>
      <c r="E19" s="12">
        <f t="shared" si="0"/>
        <v>44.732538492690082</v>
      </c>
      <c r="F19" s="33">
        <v>86.046499057195817</v>
      </c>
      <c r="G19" s="34">
        <v>90000</v>
      </c>
      <c r="H19" s="35" t="s">
        <v>8</v>
      </c>
      <c r="J19" t="s">
        <v>22</v>
      </c>
    </row>
    <row r="20" spans="1:13" x14ac:dyDescent="0.45">
      <c r="A20" s="12" t="s">
        <v>27</v>
      </c>
      <c r="B20" s="12">
        <f>(B2-B7)^2</f>
        <v>1</v>
      </c>
      <c r="C20" s="12">
        <f>(C2-C7)^2</f>
        <v>3600</v>
      </c>
      <c r="D20" s="12">
        <f>(D2-D7)^2</f>
        <v>10000</v>
      </c>
      <c r="E20" s="12">
        <f t="shared" si="0"/>
        <v>116.62332528272378</v>
      </c>
      <c r="F20" s="17">
        <v>116.62332528272378</v>
      </c>
      <c r="G20" s="18">
        <v>80000</v>
      </c>
      <c r="H20" s="12"/>
    </row>
    <row r="21" spans="1:13" x14ac:dyDescent="0.45">
      <c r="A21" s="12" t="s">
        <v>28</v>
      </c>
      <c r="B21" s="12">
        <f>(B2-B8)^2</f>
        <v>4</v>
      </c>
      <c r="C21" s="12">
        <f>(C2-C8)^2</f>
        <v>6400</v>
      </c>
      <c r="D21" s="12">
        <f>(D2-D8)^2</f>
        <v>16900</v>
      </c>
      <c r="E21" s="12">
        <f t="shared" si="0"/>
        <v>152.65647709809105</v>
      </c>
      <c r="F21" s="17">
        <v>152.65647709809105</v>
      </c>
      <c r="G21" s="18">
        <v>95000</v>
      </c>
      <c r="H21" s="12"/>
    </row>
    <row r="22" spans="1:13" x14ac:dyDescent="0.45">
      <c r="G22" s="9"/>
    </row>
    <row r="23" spans="1:13" x14ac:dyDescent="0.45">
      <c r="F23" s="29" t="s">
        <v>6</v>
      </c>
      <c r="G23" s="30">
        <f>AVERAGE(G17:G19)</f>
        <v>72666.666666666672</v>
      </c>
    </row>
    <row r="26" spans="1:13" x14ac:dyDescent="0.45">
      <c r="A26" s="23" t="s">
        <v>45</v>
      </c>
      <c r="B26" s="23"/>
      <c r="C26" s="23"/>
      <c r="D26" s="23"/>
      <c r="E26" s="23"/>
      <c r="F26" s="16"/>
      <c r="G26" s="16"/>
      <c r="H26" s="16"/>
    </row>
    <row r="27" spans="1:13" x14ac:dyDescent="0.45">
      <c r="A27" s="27"/>
      <c r="B27" s="27" t="s">
        <v>29</v>
      </c>
      <c r="C27" s="27" t="s">
        <v>33</v>
      </c>
      <c r="D27" s="27" t="s">
        <v>30</v>
      </c>
      <c r="E27" s="27" t="s">
        <v>31</v>
      </c>
      <c r="F27" s="27" t="s">
        <v>32</v>
      </c>
      <c r="G27" s="27" t="s">
        <v>34</v>
      </c>
      <c r="H27" s="27" t="s">
        <v>44</v>
      </c>
    </row>
    <row r="28" spans="1:13" x14ac:dyDescent="0.45">
      <c r="A28" s="12" t="s">
        <v>35</v>
      </c>
      <c r="B28" s="12">
        <f>(B3-B4)^2</f>
        <v>1</v>
      </c>
      <c r="C28" s="12">
        <f t="shared" ref="C28:D28" si="1">(C3-C4)^2</f>
        <v>400</v>
      </c>
      <c r="D28" s="12">
        <f t="shared" si="1"/>
        <v>400</v>
      </c>
      <c r="E28" s="12">
        <f>SQRT(SUM(B28:D28))</f>
        <v>28.301943396169811</v>
      </c>
      <c r="F28" s="33">
        <v>14.142135623730951</v>
      </c>
      <c r="G28" s="34">
        <v>70000</v>
      </c>
      <c r="H28" s="35" t="s">
        <v>10</v>
      </c>
    </row>
    <row r="29" spans="1:13" x14ac:dyDescent="0.45">
      <c r="A29" s="12" t="s">
        <v>36</v>
      </c>
      <c r="B29" s="12">
        <f>(B3-B5)^2</f>
        <v>1</v>
      </c>
      <c r="C29" s="12">
        <f t="shared" ref="C29:D29" si="2">(C3-C5)^2</f>
        <v>1600</v>
      </c>
      <c r="D29" s="12">
        <f t="shared" si="2"/>
        <v>3600</v>
      </c>
      <c r="E29" s="12">
        <f t="shared" ref="E29:E32" si="3">SQRT(SUM(B29:D29))</f>
        <v>72.11795892841117</v>
      </c>
      <c r="F29" s="33">
        <v>28.301943396169811</v>
      </c>
      <c r="G29" s="34">
        <v>90000</v>
      </c>
      <c r="H29" s="35" t="s">
        <v>8</v>
      </c>
    </row>
    <row r="30" spans="1:13" x14ac:dyDescent="0.45">
      <c r="A30" s="12" t="s">
        <v>37</v>
      </c>
      <c r="B30" s="12">
        <f>(B3-B6)^2</f>
        <v>0</v>
      </c>
      <c r="C30" s="12">
        <f t="shared" ref="C30:D30" si="4">(C3-C6)^2</f>
        <v>100</v>
      </c>
      <c r="D30" s="12">
        <f t="shared" si="4"/>
        <v>100</v>
      </c>
      <c r="E30" s="12">
        <f t="shared" si="3"/>
        <v>14.142135623730951</v>
      </c>
      <c r="F30" s="33">
        <v>58.309518948453004</v>
      </c>
      <c r="G30" s="34">
        <v>80000</v>
      </c>
      <c r="H30" s="35" t="s">
        <v>11</v>
      </c>
    </row>
    <row r="31" spans="1:13" x14ac:dyDescent="0.45">
      <c r="A31" s="12" t="s">
        <v>38</v>
      </c>
      <c r="B31" s="12">
        <f>(B3-B7)^2</f>
        <v>0</v>
      </c>
      <c r="C31" s="12">
        <f t="shared" ref="C31:D31" si="5">(C3-C7)^2</f>
        <v>900</v>
      </c>
      <c r="D31" s="12">
        <f t="shared" si="5"/>
        <v>2500</v>
      </c>
      <c r="E31" s="12">
        <f t="shared" si="3"/>
        <v>58.309518948453004</v>
      </c>
      <c r="F31" s="17">
        <v>72.11795892841117</v>
      </c>
      <c r="G31" s="18">
        <v>58000</v>
      </c>
      <c r="H31" s="12"/>
    </row>
    <row r="32" spans="1:13" x14ac:dyDescent="0.45">
      <c r="A32" s="12" t="s">
        <v>39</v>
      </c>
      <c r="B32" s="12">
        <f>(B3-B8)^2</f>
        <v>1</v>
      </c>
      <c r="C32" s="12">
        <f t="shared" ref="C32:D32" si="6">(C3-C8)^2</f>
        <v>2500</v>
      </c>
      <c r="D32" s="12">
        <f t="shared" si="6"/>
        <v>6400</v>
      </c>
      <c r="E32" s="12">
        <f t="shared" si="3"/>
        <v>94.34511116109833</v>
      </c>
      <c r="F32" s="17">
        <v>94.34511116109833</v>
      </c>
      <c r="G32" s="18">
        <v>95000</v>
      </c>
      <c r="H32" s="12"/>
    </row>
    <row r="33" spans="1:14" x14ac:dyDescent="0.45">
      <c r="G33" s="9"/>
    </row>
    <row r="34" spans="1:14" x14ac:dyDescent="0.45">
      <c r="F34" s="31" t="s">
        <v>7</v>
      </c>
      <c r="G34" s="32">
        <f>AVERAGE(G28:G30)</f>
        <v>80000</v>
      </c>
    </row>
    <row r="38" spans="1:14" x14ac:dyDescent="0.45">
      <c r="A38" s="15" t="s">
        <v>48</v>
      </c>
      <c r="B38" s="15"/>
      <c r="C38" s="15"/>
      <c r="D38" s="15"/>
      <c r="E38" s="15"/>
      <c r="F38" s="16"/>
      <c r="G38" s="16"/>
      <c r="H38" s="16"/>
    </row>
    <row r="39" spans="1:14" x14ac:dyDescent="0.45">
      <c r="A39" s="24"/>
      <c r="B39" s="24" t="s">
        <v>40</v>
      </c>
      <c r="C39" s="24" t="s">
        <v>41</v>
      </c>
      <c r="D39" s="24" t="s">
        <v>42</v>
      </c>
      <c r="E39" s="24" t="s">
        <v>43</v>
      </c>
      <c r="F39" s="24" t="s">
        <v>32</v>
      </c>
      <c r="G39" s="24" t="s">
        <v>34</v>
      </c>
      <c r="H39" s="24" t="s">
        <v>44</v>
      </c>
    </row>
    <row r="40" spans="1:14" x14ac:dyDescent="0.45">
      <c r="A40" s="12" t="s">
        <v>24</v>
      </c>
      <c r="B40" s="12">
        <f>ABS(B2-B4)</f>
        <v>2</v>
      </c>
      <c r="C40" s="12">
        <f>ABS(C2-C4)</f>
        <v>50</v>
      </c>
      <c r="D40" s="12">
        <f>ABS(D2-D4)</f>
        <v>70</v>
      </c>
      <c r="E40" s="12">
        <f>SUM(B40:D40)</f>
        <v>122</v>
      </c>
      <c r="F40" s="36">
        <v>20</v>
      </c>
      <c r="G40" s="34">
        <v>58000</v>
      </c>
      <c r="H40" s="35" t="s">
        <v>9</v>
      </c>
      <c r="J40" t="s">
        <v>3</v>
      </c>
      <c r="N40" s="1" t="s">
        <v>4</v>
      </c>
    </row>
    <row r="41" spans="1:14" x14ac:dyDescent="0.45">
      <c r="A41" s="12" t="s">
        <v>25</v>
      </c>
      <c r="B41" s="12">
        <f>ABS(B2-B5)</f>
        <v>0</v>
      </c>
      <c r="C41" s="12">
        <f>ABS(C2-C5)</f>
        <v>10</v>
      </c>
      <c r="D41" s="12">
        <f>ABS(D2-D5)</f>
        <v>10</v>
      </c>
      <c r="E41" s="12">
        <f>SUM(B41:D41)</f>
        <v>20</v>
      </c>
      <c r="F41" s="36">
        <v>61</v>
      </c>
      <c r="G41" s="34">
        <v>70000</v>
      </c>
      <c r="H41" s="35" t="s">
        <v>10</v>
      </c>
      <c r="J41" t="s">
        <v>0</v>
      </c>
      <c r="M41" t="s">
        <v>1</v>
      </c>
    </row>
    <row r="42" spans="1:14" x14ac:dyDescent="0.45">
      <c r="A42" s="12" t="s">
        <v>26</v>
      </c>
      <c r="B42" s="12">
        <f>ABS(B2-B6)</f>
        <v>1</v>
      </c>
      <c r="C42" s="12">
        <f>ABS(C2-C6)</f>
        <v>20</v>
      </c>
      <c r="D42" s="12">
        <f>ABS(D2-D6)</f>
        <v>40</v>
      </c>
      <c r="E42" s="12">
        <f t="shared" ref="E42:E43" si="7">SUM(B42:D42)</f>
        <v>61</v>
      </c>
      <c r="F42" s="36">
        <v>122</v>
      </c>
      <c r="G42" s="34">
        <v>90000</v>
      </c>
      <c r="H42" s="35" t="s">
        <v>8</v>
      </c>
      <c r="J42" t="s">
        <v>21</v>
      </c>
    </row>
    <row r="43" spans="1:14" x14ac:dyDescent="0.45">
      <c r="A43" s="12" t="s">
        <v>27</v>
      </c>
      <c r="B43" s="12">
        <f>+ABS(B2-B7)</f>
        <v>1</v>
      </c>
      <c r="C43" s="12">
        <f>+ABS(C2-C7)</f>
        <v>60</v>
      </c>
      <c r="D43" s="12">
        <f>+ABS(D2-D7)</f>
        <v>100</v>
      </c>
      <c r="E43" s="12">
        <f t="shared" si="7"/>
        <v>161</v>
      </c>
      <c r="F43" s="19">
        <v>161</v>
      </c>
      <c r="G43" s="18">
        <v>80000</v>
      </c>
      <c r="H43" s="12"/>
      <c r="J43" t="s">
        <v>18</v>
      </c>
    </row>
    <row r="44" spans="1:14" x14ac:dyDescent="0.45">
      <c r="A44" s="12" t="s">
        <v>28</v>
      </c>
      <c r="B44" s="12">
        <f>ABS(B2-B8)</f>
        <v>2</v>
      </c>
      <c r="C44" s="12">
        <f>ABS(C2-C8)</f>
        <v>80</v>
      </c>
      <c r="D44" s="12">
        <f>ABS(D2-D8)</f>
        <v>130</v>
      </c>
      <c r="E44" s="12">
        <f>SUM(B44:D44)</f>
        <v>212</v>
      </c>
      <c r="F44" s="19">
        <v>212</v>
      </c>
      <c r="G44" s="18">
        <v>95000</v>
      </c>
      <c r="H44" s="12"/>
    </row>
    <row r="45" spans="1:14" x14ac:dyDescent="0.45">
      <c r="G45" s="9"/>
    </row>
    <row r="46" spans="1:14" x14ac:dyDescent="0.45">
      <c r="F46" s="29" t="s">
        <v>6</v>
      </c>
      <c r="G46" s="30">
        <f>AVERAGE(G40:G42)</f>
        <v>72666.666666666672</v>
      </c>
    </row>
    <row r="49" spans="1:8" x14ac:dyDescent="0.45">
      <c r="A49" s="14" t="s">
        <v>47</v>
      </c>
      <c r="B49" s="14"/>
      <c r="C49" s="14"/>
      <c r="D49" s="14"/>
      <c r="E49" s="14"/>
      <c r="F49" s="13"/>
      <c r="G49" s="13"/>
      <c r="H49" s="13"/>
    </row>
    <row r="50" spans="1:8" x14ac:dyDescent="0.45">
      <c r="A50" s="28"/>
      <c r="B50" s="28" t="s">
        <v>40</v>
      </c>
      <c r="C50" s="28" t="s">
        <v>41</v>
      </c>
      <c r="D50" s="28" t="s">
        <v>42</v>
      </c>
      <c r="E50" s="28" t="s">
        <v>43</v>
      </c>
      <c r="F50" s="28" t="s">
        <v>32</v>
      </c>
      <c r="G50" s="28" t="s">
        <v>34</v>
      </c>
      <c r="H50" s="28" t="s">
        <v>44</v>
      </c>
    </row>
    <row r="51" spans="1:8" x14ac:dyDescent="0.45">
      <c r="A51" s="20" t="s">
        <v>35</v>
      </c>
      <c r="B51" s="20">
        <f>ABS(B3-B4)</f>
        <v>1</v>
      </c>
      <c r="C51" s="20">
        <f t="shared" ref="C51:D51" si="8">ABS(C3-C4)</f>
        <v>20</v>
      </c>
      <c r="D51" s="20">
        <f t="shared" si="8"/>
        <v>20</v>
      </c>
      <c r="E51" s="20">
        <f>SUM(B51:D51)</f>
        <v>41</v>
      </c>
      <c r="F51" s="37">
        <v>20</v>
      </c>
      <c r="G51" s="38">
        <v>70000</v>
      </c>
      <c r="H51" s="39" t="s">
        <v>10</v>
      </c>
    </row>
    <row r="52" spans="1:8" x14ac:dyDescent="0.45">
      <c r="A52" s="20" t="s">
        <v>36</v>
      </c>
      <c r="B52" s="20">
        <f>ABS(B3-B5)</f>
        <v>1</v>
      </c>
      <c r="C52" s="20">
        <f t="shared" ref="C52:D52" si="9">ABS(C3-C5)</f>
        <v>40</v>
      </c>
      <c r="D52" s="20">
        <f t="shared" si="9"/>
        <v>60</v>
      </c>
      <c r="E52" s="20">
        <f>SUM(B52:D52)</f>
        <v>101</v>
      </c>
      <c r="F52" s="37">
        <v>41</v>
      </c>
      <c r="G52" s="38">
        <v>90000</v>
      </c>
      <c r="H52" s="39" t="s">
        <v>8</v>
      </c>
    </row>
    <row r="53" spans="1:8" x14ac:dyDescent="0.45">
      <c r="A53" s="20" t="s">
        <v>37</v>
      </c>
      <c r="B53" s="20">
        <f>ABS(B3-B6)</f>
        <v>0</v>
      </c>
      <c r="C53" s="20">
        <f t="shared" ref="C53:D53" si="10">+ABS(C3-C6)</f>
        <v>10</v>
      </c>
      <c r="D53" s="20">
        <f t="shared" si="10"/>
        <v>10</v>
      </c>
      <c r="E53" s="20">
        <f>SUM(B53:D53)</f>
        <v>20</v>
      </c>
      <c r="F53" s="37">
        <v>80</v>
      </c>
      <c r="G53" s="38">
        <v>80000</v>
      </c>
      <c r="H53" s="39" t="s">
        <v>11</v>
      </c>
    </row>
    <row r="54" spans="1:8" x14ac:dyDescent="0.45">
      <c r="A54" s="20" t="s">
        <v>38</v>
      </c>
      <c r="B54" s="20">
        <f>ABS(B3-B7)</f>
        <v>0</v>
      </c>
      <c r="C54" s="20">
        <f t="shared" ref="C54:D54" si="11">ABS(C3-C7)</f>
        <v>30</v>
      </c>
      <c r="D54" s="20">
        <f t="shared" si="11"/>
        <v>50</v>
      </c>
      <c r="E54" s="20">
        <f t="shared" ref="E53:E55" si="12">SUM(B54:D54)</f>
        <v>80</v>
      </c>
      <c r="F54" s="21">
        <v>101</v>
      </c>
      <c r="G54" s="22">
        <v>58000</v>
      </c>
      <c r="H54" s="20"/>
    </row>
    <row r="55" spans="1:8" x14ac:dyDescent="0.45">
      <c r="A55" s="20" t="s">
        <v>39</v>
      </c>
      <c r="B55" s="20">
        <f>+ABS(B3-B8)</f>
        <v>1</v>
      </c>
      <c r="C55" s="20">
        <f t="shared" ref="C55:D55" si="13">+ABS(C3-C8)</f>
        <v>50</v>
      </c>
      <c r="D55" s="20">
        <f t="shared" si="13"/>
        <v>80</v>
      </c>
      <c r="E55" s="20">
        <f t="shared" si="12"/>
        <v>131</v>
      </c>
      <c r="F55" s="21">
        <v>131</v>
      </c>
      <c r="G55" s="22">
        <v>95000</v>
      </c>
      <c r="H55" s="20"/>
    </row>
    <row r="56" spans="1:8" x14ac:dyDescent="0.45">
      <c r="G56" s="9"/>
    </row>
    <row r="57" spans="1:8" x14ac:dyDescent="0.45">
      <c r="F57" s="31" t="s">
        <v>7</v>
      </c>
      <c r="G57" s="32">
        <f>AVERAGE(G51:G53)</f>
        <v>80000</v>
      </c>
    </row>
  </sheetData>
  <sortState xmlns:xlrd2="http://schemas.microsoft.com/office/spreadsheetml/2017/richdata2" ref="F51:F55">
    <sortCondition ref="F51:F55"/>
  </sortState>
  <mergeCells count="4">
    <mergeCell ref="A15:E15"/>
    <mergeCell ref="A38:E38"/>
    <mergeCell ref="A26:E26"/>
    <mergeCell ref="A49:E49"/>
  </mergeCells>
  <pageMargins left="0.7" right="0.7" top="0.75" bottom="0.75" header="0.3" footer="0.3"/>
  <ignoredErrors>
    <ignoredError sqref="G23 G34 G46 G5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Remigio Ismael Hurtado Ortiz</dc:creator>
  <cp:lastModifiedBy>Est. Domenica Minerva Beltran Panama</cp:lastModifiedBy>
  <dcterms:created xsi:type="dcterms:W3CDTF">2015-06-05T18:19:34Z</dcterms:created>
  <dcterms:modified xsi:type="dcterms:W3CDTF">2026-05-05T01:33:38Z</dcterms:modified>
</cp:coreProperties>
</file>